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 Summary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4" fontId="0" fillId="0" borderId="0" pivotButton="0" quotePrefix="0" xfId="0"/>
    <xf numFmtId="2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vs Profit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 Summary'!B3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Summary'!$A$4:$A$7</f>
            </numRef>
          </cat>
          <val>
            <numRef>
              <f>'Region Summary'!$B$4:$B$7</f>
            </numRef>
          </val>
        </ser>
        <ser>
          <idx val="1"/>
          <order val="1"/>
          <tx>
            <strRef>
              <f>'Region Summary'!C3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Summary'!$A$4:$A$7</f>
            </numRef>
          </cat>
          <val>
            <numRef>
              <f>'Region Summary'!$C$4:$C$7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Region Performance - Superstore (Task 18)</t>
        </is>
      </c>
    </row>
    <row r="3">
      <c r="A3" s="2" t="inlineStr">
        <is>
          <t>Region</t>
        </is>
      </c>
      <c r="B3" s="2" t="inlineStr">
        <is>
          <t>Total Sales</t>
        </is>
      </c>
      <c r="C3" s="2" t="inlineStr">
        <is>
          <t>Total Profit</t>
        </is>
      </c>
      <c r="D3" s="2" t="inlineStr">
        <is>
          <t>Profit Margin (%)</t>
        </is>
      </c>
      <c r="E3" s="2" t="inlineStr">
        <is>
          <t>Rank by Sales</t>
        </is>
      </c>
      <c r="F3" s="2" t="inlineStr">
        <is>
          <t>Rank by Profit</t>
        </is>
      </c>
      <c r="G3" s="2" t="inlineStr">
        <is>
          <t>Rank by Margin</t>
        </is>
      </c>
    </row>
    <row r="4">
      <c r="A4" t="inlineStr">
        <is>
          <t>Central</t>
        </is>
      </c>
      <c r="B4" s="3">
        <f>SUMIF(Data!$M:$M,A4,Data!$R:$R)</f>
        <v/>
      </c>
      <c r="C4" s="3">
        <f>SUMIF(Data!$M:$M,A4,Data!$U:$U)</f>
        <v/>
      </c>
      <c r="D4" s="4">
        <f>IF(B4=0,0,C4/B4*100)</f>
        <v/>
      </c>
      <c r="E4">
        <f>RANK(B4,$B$4:$B$7)</f>
        <v/>
      </c>
      <c r="F4">
        <f>RANK(C4,$C$4:$C$7)</f>
        <v/>
      </c>
      <c r="G4">
        <f>RANK(D4,$D$4:$D$7)</f>
        <v/>
      </c>
    </row>
    <row r="5">
      <c r="A5" t="inlineStr">
        <is>
          <t>East</t>
        </is>
      </c>
      <c r="B5" s="3">
        <f>SUMIF(Data!$M:$M,A5,Data!$R:$R)</f>
        <v/>
      </c>
      <c r="C5" s="3">
        <f>SUMIF(Data!$M:$M,A5,Data!$U:$U)</f>
        <v/>
      </c>
      <c r="D5" s="4">
        <f>IF(B5=0,0,C5/B5*100)</f>
        <v/>
      </c>
      <c r="E5">
        <f>RANK(B5,$B$4:$B$7)</f>
        <v/>
      </c>
      <c r="F5">
        <f>RANK(C5,$C$4:$C$7)</f>
        <v/>
      </c>
      <c r="G5">
        <f>RANK(D5,$D$4:$D$7)</f>
        <v/>
      </c>
    </row>
    <row r="6">
      <c r="A6" t="inlineStr">
        <is>
          <t>South</t>
        </is>
      </c>
      <c r="B6" s="3">
        <f>SUMIF(Data!$M:$M,A6,Data!$R:$R)</f>
        <v/>
      </c>
      <c r="C6" s="3">
        <f>SUMIF(Data!$M:$M,A6,Data!$U:$U)</f>
        <v/>
      </c>
      <c r="D6" s="4">
        <f>IF(B6=0,0,C6/B6*100)</f>
        <v/>
      </c>
      <c r="E6">
        <f>RANK(B6,$B$4:$B$7)</f>
        <v/>
      </c>
      <c r="F6">
        <f>RANK(C6,$C$4:$C$7)</f>
        <v/>
      </c>
      <c r="G6">
        <f>RANK(D6,$D$4:$D$7)</f>
        <v/>
      </c>
    </row>
    <row r="7">
      <c r="A7" t="inlineStr">
        <is>
          <t>West</t>
        </is>
      </c>
      <c r="B7" s="3">
        <f>SUMIF(Data!$M:$M,A7,Data!$R:$R)</f>
        <v/>
      </c>
      <c r="C7" s="3">
        <f>SUMIF(Data!$M:$M,A7,Data!$U:$U)</f>
        <v/>
      </c>
      <c r="D7" s="4">
        <f>IF(B7=0,0,C7/B7*100)</f>
        <v/>
      </c>
      <c r="E7">
        <f>RANK(B7,$B$4:$B$7)</f>
        <v/>
      </c>
      <c r="F7">
        <f>RANK(C7,$C$4:$C$7)</f>
        <v/>
      </c>
      <c r="G7">
        <f>RANK(D7,$D$4:$D$7)</f>
        <v/>
      </c>
    </row>
    <row r="8">
      <c r="A8" s="5" t="inlineStr">
        <is>
          <t>Total</t>
        </is>
      </c>
      <c r="B8" s="6">
        <f>SUM(B4:B7)</f>
        <v/>
      </c>
      <c r="C8" s="6">
        <f>SUM(C4:C7)</f>
        <v/>
      </c>
      <c r="D8" s="7">
        <f>IF(B8=0,0,C8/B8*100)</f>
        <v/>
      </c>
      <c r="E8" s="5" t="n"/>
      <c r="F8" s="5" t="n"/>
      <c r="G8" s="5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Row ID</t>
        </is>
      </c>
      <c r="B1" s="5" t="inlineStr">
        <is>
          <t>Order ID</t>
        </is>
      </c>
      <c r="C1" s="5" t="inlineStr">
        <is>
          <t>Order Date</t>
        </is>
      </c>
      <c r="D1" s="5" t="inlineStr">
        <is>
          <t>Ship Date</t>
        </is>
      </c>
      <c r="E1" s="5" t="inlineStr">
        <is>
          <t>Ship Mode</t>
        </is>
      </c>
      <c r="F1" s="5" t="inlineStr">
        <is>
          <t>Customer ID</t>
        </is>
      </c>
      <c r="G1" s="5" t="inlineStr">
        <is>
          <t>Customer Name</t>
        </is>
      </c>
      <c r="H1" s="5" t="inlineStr">
        <is>
          <t>Segment</t>
        </is>
      </c>
      <c r="I1" s="5" t="inlineStr">
        <is>
          <t>Country</t>
        </is>
      </c>
      <c r="J1" s="5" t="inlineStr">
        <is>
          <t>City</t>
        </is>
      </c>
      <c r="K1" s="5" t="inlineStr">
        <is>
          <t>State</t>
        </is>
      </c>
      <c r="L1" s="5" t="inlineStr">
        <is>
          <t>Postal Code</t>
        </is>
      </c>
      <c r="M1" s="5" t="inlineStr">
        <is>
          <t>Region</t>
        </is>
      </c>
      <c r="N1" s="5" t="inlineStr">
        <is>
          <t>Product ID</t>
        </is>
      </c>
      <c r="O1" s="5" t="inlineStr">
        <is>
          <t>Category</t>
        </is>
      </c>
      <c r="P1" s="5" t="inlineStr">
        <is>
          <t>Sub-Category</t>
        </is>
      </c>
      <c r="Q1" s="5" t="inlineStr">
        <is>
          <t>Product Name</t>
        </is>
      </c>
      <c r="R1" s="5" t="inlineStr">
        <is>
          <t>Sales</t>
        </is>
      </c>
      <c r="S1" s="5" t="inlineStr">
        <is>
          <t>Quantity</t>
        </is>
      </c>
      <c r="T1" s="5" t="inlineStr">
        <is>
          <t>Discount</t>
        </is>
      </c>
      <c r="U1" s="5" t="inlineStr">
        <is>
          <t>Profit</t>
        </is>
      </c>
      <c r="W1" t="inlineStr">
        <is>
          <t>&lt;- Paste the Superstore data here from A2 (same column order: Region = M, Sales = R, Profit = U)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2026-10-27T03:36:27Z</dcterms:created>
  <dcterms:modified xmlns:dcterms="http://purl.org/dc/terms/" xmlns:xsi="http://www.w3.org/2001/XMLSchema-instance" xsi:type="dcterms:W3CDTF">2026-10-27T03:36:27Z</dcterms:modified>
</cp:coreProperties>
</file>